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uentas_Medicas" sheetId="1" state="visible" r:id="rId1"/>
    <sheet xmlns:r="http://schemas.openxmlformats.org/officeDocument/2006/relationships" name="Dashboard_Anali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9.5"/>
    </font>
    <font>
      <name val="Calibri"/>
      <b val="1"/>
      <color rgb="0015803D"/>
      <sz val="9.5"/>
    </font>
    <font>
      <name val="Calibri"/>
      <b val="1"/>
      <color rgb="00B91C1C"/>
      <sz val="9.5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2885"/>
      <sz val="11"/>
    </font>
  </fonts>
  <fills count="6">
    <fill>
      <patternFill/>
    </fill>
    <fill>
      <patternFill patternType="gray125"/>
    </fill>
    <fill>
      <patternFill patternType="solid">
        <fgColor rgb="00002885"/>
        <bgColor rgb="0000288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011C4E"/>
        <bgColor rgb="00011C4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0" fontId="2" fillId="0" borderId="0" pivotButton="0" quotePrefix="0" xfId="0"/>
    <xf numFmtId="165" fontId="6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15" customWidth="1" min="3" max="3"/>
    <col width="21" customWidth="1" min="4" max="4"/>
    <col width="14" customWidth="1" min="5" max="5"/>
    <col width="14" customWidth="1" min="6" max="6"/>
    <col width="22" customWidth="1" min="7" max="7"/>
    <col width="25" customWidth="1" min="8" max="8"/>
    <col width="45" customWidth="1" min="9" max="9"/>
    <col width="20" customWidth="1" min="10" max="10"/>
    <col width="22" customWidth="1" min="11" max="11"/>
    <col width="24" customWidth="1" min="12" max="12"/>
    <col width="23" customWidth="1" min="13" max="13"/>
    <col width="28" customWidth="1" min="14" max="14"/>
    <col width="23" customWidth="1" min="15" max="15"/>
    <col width="25" customWidth="1" min="16" max="16"/>
    <col width="45" customWidth="1" min="17" max="17"/>
  </cols>
  <sheetData>
    <row r="1" ht="30" customHeight="1">
      <c r="A1" s="1" t="inlineStr">
        <is>
          <t>ID_Factura</t>
        </is>
      </c>
      <c r="B1" s="1" t="inlineStr">
        <is>
          <t>EPS_Aseguradora</t>
        </is>
      </c>
      <c r="C1" s="1" t="inlineStr">
        <is>
          <t>Regimen</t>
        </is>
      </c>
      <c r="D1" s="1" t="inlineStr">
        <is>
          <t>Servicio_Origen</t>
        </is>
      </c>
      <c r="E1" s="1" t="inlineStr">
        <is>
          <t>Cod_CIE10</t>
        </is>
      </c>
      <c r="F1" s="1" t="inlineStr">
        <is>
          <t>Cod_CUPS</t>
        </is>
      </c>
      <c r="G1" s="1" t="inlineStr">
        <is>
          <t>Valor_Facturado_COP</t>
        </is>
      </c>
      <c r="H1" s="1" t="inlineStr">
        <is>
          <t>Tipo_Objecion</t>
        </is>
      </c>
      <c r="I1" s="1" t="inlineStr">
        <is>
          <t>Concepto_Objetado</t>
        </is>
      </c>
      <c r="J1" s="1" t="inlineStr">
        <is>
          <t>Valor_Glosado_COP</t>
        </is>
      </c>
      <c r="K1" s="1" t="inlineStr">
        <is>
          <t>Porcentaje_Glosado</t>
        </is>
      </c>
      <c r="L1" s="1" t="inlineStr">
        <is>
          <t>Probabilidad_Glosa_IA</t>
        </is>
      </c>
      <c r="M1" s="1" t="inlineStr">
        <is>
          <t>Perdida_Esperada_COP</t>
        </is>
      </c>
      <c r="N1" s="1" t="inlineStr">
        <is>
          <t>Resultado_Sustentacion_IA</t>
        </is>
      </c>
      <c r="O1" s="1" t="inlineStr">
        <is>
          <t>Valor_Recuperado_COP</t>
        </is>
      </c>
      <c r="P1" s="1" t="inlineStr">
        <is>
          <t>Perdida_Definitiva_COP</t>
        </is>
      </c>
      <c r="Q1" s="1" t="inlineStr">
        <is>
          <t>Accion_Sugerida_IA</t>
        </is>
      </c>
    </row>
    <row r="2" ht="20" customHeight="1">
      <c r="A2" s="2" t="inlineStr">
        <is>
          <t>FAC-2026-001</t>
        </is>
      </c>
      <c r="B2" s="3" t="inlineStr">
        <is>
          <t>EPS Sanitas</t>
        </is>
      </c>
      <c r="C2" s="3" t="inlineStr">
        <is>
          <t>Contributivo</t>
        </is>
      </c>
      <c r="D2" s="3" t="inlineStr">
        <is>
          <t>Cirugía General</t>
        </is>
      </c>
      <c r="E2" s="2" t="inlineStr">
        <is>
          <t>K802</t>
        </is>
      </c>
      <c r="F2" s="2" t="inlineStr">
        <is>
          <t>512201</t>
        </is>
      </c>
      <c r="G2" s="4" t="n">
        <v>4850000</v>
      </c>
      <c r="H2" s="2" t="inlineStr">
        <is>
          <t>Sin Glosa</t>
        </is>
      </c>
      <c r="I2" s="3" t="inlineStr">
        <is>
          <t>Ninguno</t>
        </is>
      </c>
      <c r="J2" s="4" t="n">
        <v>0</v>
      </c>
      <c r="K2" s="5" t="n">
        <v>0</v>
      </c>
      <c r="L2" s="6" t="n">
        <v>0.08</v>
      </c>
      <c r="M2" s="4" t="n">
        <v>0</v>
      </c>
      <c r="N2" s="3" t="inlineStr">
        <is>
          <t>Radicada sin Objeción</t>
        </is>
      </c>
      <c r="O2" s="4" t="n">
        <v>0</v>
      </c>
      <c r="P2" s="4" t="n">
        <v>0</v>
      </c>
      <c r="Q2" s="3" t="inlineStr">
        <is>
          <t>Radicar automáticamente</t>
        </is>
      </c>
    </row>
    <row r="3" ht="20" customHeight="1">
      <c r="A3" s="2" t="inlineStr">
        <is>
          <t>FAC-2026-002</t>
        </is>
      </c>
      <c r="B3" s="3" t="inlineStr">
        <is>
          <t>Nueva EPS</t>
        </is>
      </c>
      <c r="C3" s="3" t="inlineStr">
        <is>
          <t>Subsidiado</t>
        </is>
      </c>
      <c r="D3" s="3" t="inlineStr">
        <is>
          <t>Urgencias / UCI</t>
        </is>
      </c>
      <c r="E3" s="2" t="inlineStr">
        <is>
          <t>I210</t>
        </is>
      </c>
      <c r="F3" s="2" t="inlineStr">
        <is>
          <t>360601</t>
        </is>
      </c>
      <c r="G3" s="4" t="n">
        <v>18500000</v>
      </c>
      <c r="H3" s="2" t="inlineStr">
        <is>
          <t>Parcial</t>
        </is>
      </c>
      <c r="I3" s="3" t="inlineStr">
        <is>
          <t>Tarifa stent medicado no pactada en anexo SOAT</t>
        </is>
      </c>
      <c r="J3" s="4" t="n">
        <v>4200000</v>
      </c>
      <c r="K3" s="5" t="n">
        <v>0.227027027027027</v>
      </c>
      <c r="L3" s="7" t="n">
        <v>0.78</v>
      </c>
      <c r="M3" s="4" t="n">
        <v>3276000</v>
      </c>
      <c r="N3" s="3" t="inlineStr">
        <is>
          <t>Levantada Parcial (75%)</t>
        </is>
      </c>
      <c r="O3" s="4" t="n">
        <v>3150000</v>
      </c>
      <c r="P3" s="4" t="n">
        <v>1050000</v>
      </c>
      <c r="Q3" s="3" t="inlineStr">
        <is>
          <t>Revisar factura vs. anexo SOAT+35%</t>
        </is>
      </c>
    </row>
    <row r="4" ht="20" customHeight="1">
      <c r="A4" s="2" t="inlineStr">
        <is>
          <t>FAC-2026-003</t>
        </is>
      </c>
      <c r="B4" s="3" t="inlineStr">
        <is>
          <t>Sura EPS</t>
        </is>
      </c>
      <c r="C4" s="3" t="inlineStr">
        <is>
          <t>Contributivo</t>
        </is>
      </c>
      <c r="D4" s="3" t="inlineStr">
        <is>
          <t>Ortopedia</t>
        </is>
      </c>
      <c r="E4" s="2" t="inlineStr">
        <is>
          <t>S822</t>
        </is>
      </c>
      <c r="F4" s="2" t="inlineStr">
        <is>
          <t>793501</t>
        </is>
      </c>
      <c r="G4" s="4" t="n">
        <v>7200000</v>
      </c>
      <c r="H4" s="2" t="inlineStr">
        <is>
          <t>Total (Devolución)</t>
        </is>
      </c>
      <c r="I4" s="3" t="inlineStr">
        <is>
          <t>Falta autorización previa de EPS para material</t>
        </is>
      </c>
      <c r="J4" s="4" t="n">
        <v>7200000</v>
      </c>
      <c r="K4" s="5" t="n">
        <v>1</v>
      </c>
      <c r="L4" s="7" t="n">
        <v>0.92</v>
      </c>
      <c r="M4" s="4" t="n">
        <v>6624000</v>
      </c>
      <c r="N4" s="3" t="inlineStr">
        <is>
          <t>Levantada 100%</t>
        </is>
      </c>
      <c r="O4" s="4" t="n">
        <v>7200000</v>
      </c>
      <c r="P4" s="4" t="n">
        <v>0</v>
      </c>
      <c r="Q4" s="3" t="inlineStr">
        <is>
          <t>Detener radicación: solicitar autorización extemporánea</t>
        </is>
      </c>
    </row>
    <row r="5" ht="20" customHeight="1">
      <c r="A5" s="2" t="inlineStr">
        <is>
          <t>FAC-2026-004</t>
        </is>
      </c>
      <c r="B5" s="3" t="inlineStr">
        <is>
          <t>Salud Total</t>
        </is>
      </c>
      <c r="C5" s="3" t="inlineStr">
        <is>
          <t>Contributivo</t>
        </is>
      </c>
      <c r="D5" s="3" t="inlineStr">
        <is>
          <t>Medicina Interna</t>
        </is>
      </c>
      <c r="E5" s="2" t="inlineStr">
        <is>
          <t>E119</t>
        </is>
      </c>
      <c r="F5" s="2" t="inlineStr">
        <is>
          <t>890201</t>
        </is>
      </c>
      <c r="G5" s="4" t="n">
        <v>145000</v>
      </c>
      <c r="H5" s="2" t="inlineStr">
        <is>
          <t>Sin Glosa</t>
        </is>
      </c>
      <c r="I5" s="3" t="inlineStr">
        <is>
          <t>Ninguno</t>
        </is>
      </c>
      <c r="J5" s="4" t="n">
        <v>0</v>
      </c>
      <c r="K5" s="5" t="n">
        <v>0</v>
      </c>
      <c r="L5" s="6" t="n">
        <v>0.04</v>
      </c>
      <c r="M5" s="4" t="n">
        <v>0</v>
      </c>
      <c r="N5" s="3" t="inlineStr">
        <is>
          <t>Radicada sin Objeción</t>
        </is>
      </c>
      <c r="O5" s="4" t="n">
        <v>0</v>
      </c>
      <c r="P5" s="4" t="n">
        <v>0</v>
      </c>
      <c r="Q5" s="3" t="inlineStr">
        <is>
          <t>Radicar automáticamente</t>
        </is>
      </c>
    </row>
    <row r="6" ht="20" customHeight="1">
      <c r="A6" s="2" t="inlineStr">
        <is>
          <t>FAC-2026-005</t>
        </is>
      </c>
      <c r="B6" s="3" t="inlineStr">
        <is>
          <t>Famisanar</t>
        </is>
      </c>
      <c r="C6" s="3" t="inlineStr">
        <is>
          <t>Subsidiado</t>
        </is>
      </c>
      <c r="D6" s="3" t="inlineStr">
        <is>
          <t>Ginecobstetricia</t>
        </is>
      </c>
      <c r="E6" s="2" t="inlineStr">
        <is>
          <t>O800</t>
        </is>
      </c>
      <c r="F6" s="2" t="inlineStr">
        <is>
          <t>735901</t>
        </is>
      </c>
      <c r="G6" s="4" t="n">
        <v>2100000</v>
      </c>
      <c r="H6" s="2" t="inlineStr">
        <is>
          <t>Sin Glosa</t>
        </is>
      </c>
      <c r="I6" s="3" t="inlineStr">
        <is>
          <t>Ninguno</t>
        </is>
      </c>
      <c r="J6" s="4" t="n">
        <v>0</v>
      </c>
      <c r="K6" s="5" t="n">
        <v>0</v>
      </c>
      <c r="L6" s="6" t="n">
        <v>0.12</v>
      </c>
      <c r="M6" s="4" t="n">
        <v>0</v>
      </c>
      <c r="N6" s="3" t="inlineStr">
        <is>
          <t>Radicada sin Objeción</t>
        </is>
      </c>
      <c r="O6" s="4" t="n">
        <v>0</v>
      </c>
      <c r="P6" s="4" t="n">
        <v>0</v>
      </c>
      <c r="Q6" s="3" t="inlineStr">
        <is>
          <t>Radicar automáticamente</t>
        </is>
      </c>
    </row>
    <row r="7" ht="20" customHeight="1">
      <c r="A7" s="2" t="inlineStr">
        <is>
          <t>FAC-2026-006</t>
        </is>
      </c>
      <c r="B7" s="3" t="inlineStr">
        <is>
          <t>Nueva EPS</t>
        </is>
      </c>
      <c r="C7" s="3" t="inlineStr">
        <is>
          <t>Subsidiado</t>
        </is>
      </c>
      <c r="D7" s="3" t="inlineStr">
        <is>
          <t>Neurología / UCI</t>
        </is>
      </c>
      <c r="E7" s="2" t="inlineStr">
        <is>
          <t>I639</t>
        </is>
      </c>
      <c r="F7" s="2" t="inlineStr">
        <is>
          <t>895100</t>
        </is>
      </c>
      <c r="G7" s="4" t="n">
        <v>9400000</v>
      </c>
      <c r="H7" s="2" t="inlineStr">
        <is>
          <t>Parcial</t>
        </is>
      </c>
      <c r="I7" s="3" t="inlineStr">
        <is>
          <t>3 días estancia UCI no justificados en evolución</t>
        </is>
      </c>
      <c r="J7" s="4" t="n">
        <v>3900000</v>
      </c>
      <c r="K7" s="5" t="n">
        <v>0.4148936170212766</v>
      </c>
      <c r="L7" s="7" t="n">
        <v>0.84</v>
      </c>
      <c r="M7" s="4" t="n">
        <v>3276000</v>
      </c>
      <c r="N7" s="3" t="inlineStr">
        <is>
          <t>Levantada 100%</t>
        </is>
      </c>
      <c r="O7" s="4" t="n">
        <v>3900000</v>
      </c>
      <c r="P7" s="4" t="n">
        <v>0</v>
      </c>
      <c r="Q7" s="3" t="inlineStr">
        <is>
          <t>Auditor médico debe sustentar con escala Glasgow</t>
        </is>
      </c>
    </row>
    <row r="8" ht="20" customHeight="1">
      <c r="A8" s="2" t="inlineStr">
        <is>
          <t>FAC-2026-007</t>
        </is>
      </c>
      <c r="B8" s="3" t="inlineStr">
        <is>
          <t>EPS Sanitas</t>
        </is>
      </c>
      <c r="C8" s="3" t="inlineStr">
        <is>
          <t>Contributivo</t>
        </is>
      </c>
      <c r="D8" s="3" t="inlineStr">
        <is>
          <t>Oncología</t>
        </is>
      </c>
      <c r="E8" s="2" t="inlineStr">
        <is>
          <t>C509</t>
        </is>
      </c>
      <c r="F8" s="2" t="inlineStr">
        <is>
          <t>992501</t>
        </is>
      </c>
      <c r="G8" s="4" t="n">
        <v>5600000</v>
      </c>
      <c r="H8" s="2" t="inlineStr">
        <is>
          <t>Sin Glosa</t>
        </is>
      </c>
      <c r="I8" s="3" t="inlineStr">
        <is>
          <t>Ninguno</t>
        </is>
      </c>
      <c r="J8" s="4" t="n">
        <v>0</v>
      </c>
      <c r="K8" s="5" t="n">
        <v>0</v>
      </c>
      <c r="L8" s="6" t="n">
        <v>0.15</v>
      </c>
      <c r="M8" s="4" t="n">
        <v>0</v>
      </c>
      <c r="N8" s="3" t="inlineStr">
        <is>
          <t>Radicada sin Objeción</t>
        </is>
      </c>
      <c r="O8" s="4" t="n">
        <v>0</v>
      </c>
      <c r="P8" s="4" t="n">
        <v>0</v>
      </c>
      <c r="Q8" s="3" t="inlineStr">
        <is>
          <t>Radicar automáticamente</t>
        </is>
      </c>
    </row>
    <row r="9" ht="20" customHeight="1">
      <c r="A9" s="2" t="inlineStr">
        <is>
          <t>FAC-2026-008</t>
        </is>
      </c>
      <c r="B9" s="3" t="inlineStr">
        <is>
          <t>Compensar</t>
        </is>
      </c>
      <c r="C9" s="3" t="inlineStr">
        <is>
          <t>Contributivo</t>
        </is>
      </c>
      <c r="D9" s="3" t="inlineStr">
        <is>
          <t>Cirugía Plástica</t>
        </is>
      </c>
      <c r="E9" s="2" t="inlineStr">
        <is>
          <t>T232</t>
        </is>
      </c>
      <c r="F9" s="2" t="inlineStr">
        <is>
          <t>866101</t>
        </is>
      </c>
      <c r="G9" s="4" t="n">
        <v>3800000</v>
      </c>
      <c r="H9" s="2" t="inlineStr">
        <is>
          <t>Parcial</t>
        </is>
      </c>
      <c r="I9" s="3" t="inlineStr">
        <is>
          <t>Derechos de sala liquidados con UVR mayor</t>
        </is>
      </c>
      <c r="J9" s="4" t="n">
        <v>850000</v>
      </c>
      <c r="K9" s="5" t="n">
        <v>0.2236842105263158</v>
      </c>
      <c r="L9" s="5" t="n">
        <v>0.65</v>
      </c>
      <c r="M9" s="4" t="n">
        <v>552500</v>
      </c>
      <c r="N9" s="3" t="inlineStr">
        <is>
          <t>Aceptada IPS (Grave)</t>
        </is>
      </c>
      <c r="O9" s="4" t="n">
        <v>0</v>
      </c>
      <c r="P9" s="4" t="n">
        <v>850000</v>
      </c>
      <c r="Q9" s="3" t="inlineStr">
        <is>
          <t>Ajustar derechos de sala según tabla UVR</t>
        </is>
      </c>
    </row>
    <row r="10" ht="20" customHeight="1">
      <c r="A10" s="2" t="inlineStr">
        <is>
          <t>FAC-2026-009</t>
        </is>
      </c>
      <c r="B10" s="3" t="inlineStr">
        <is>
          <t>Nueva EPS</t>
        </is>
      </c>
      <c r="C10" s="3" t="inlineStr">
        <is>
          <t>Contributivo</t>
        </is>
      </c>
      <c r="D10" s="3" t="inlineStr">
        <is>
          <t>Cardiología</t>
        </is>
      </c>
      <c r="E10" s="2" t="inlineStr">
        <is>
          <t>I500</t>
        </is>
      </c>
      <c r="F10" s="2" t="inlineStr">
        <is>
          <t>881232</t>
        </is>
      </c>
      <c r="G10" s="4" t="n">
        <v>420000</v>
      </c>
      <c r="H10" s="2" t="inlineStr">
        <is>
          <t>Total (Devolución)</t>
        </is>
      </c>
      <c r="I10" s="3" t="inlineStr">
        <is>
          <t>Volante de autorización vencido por 2 días</t>
        </is>
      </c>
      <c r="J10" s="4" t="n">
        <v>420000</v>
      </c>
      <c r="K10" s="5" t="n">
        <v>1</v>
      </c>
      <c r="L10" s="7" t="n">
        <v>0.88</v>
      </c>
      <c r="M10" s="4" t="n">
        <v>369600</v>
      </c>
      <c r="N10" s="3" t="inlineStr">
        <is>
          <t>Levantada 100%</t>
        </is>
      </c>
      <c r="O10" s="4" t="n">
        <v>420000</v>
      </c>
      <c r="P10" s="4" t="n">
        <v>0</v>
      </c>
      <c r="Q10" s="3" t="inlineStr">
        <is>
          <t>Tramitar prórroga con soporte de cita</t>
        </is>
      </c>
    </row>
    <row r="11" ht="20" customHeight="1">
      <c r="A11" s="2" t="inlineStr">
        <is>
          <t>FAC-2026-010</t>
        </is>
      </c>
      <c r="B11" s="3" t="inlineStr">
        <is>
          <t>Sura EPS</t>
        </is>
      </c>
      <c r="C11" s="3" t="inlineStr">
        <is>
          <t>Contributivo</t>
        </is>
      </c>
      <c r="D11" s="3" t="inlineStr">
        <is>
          <t>Urgencias</t>
        </is>
      </c>
      <c r="E11" s="2" t="inlineStr">
        <is>
          <t>R104</t>
        </is>
      </c>
      <c r="F11" s="2" t="inlineStr">
        <is>
          <t>890701</t>
        </is>
      </c>
      <c r="G11" s="4" t="n">
        <v>120000</v>
      </c>
      <c r="H11" s="2" t="inlineStr">
        <is>
          <t>Sin Glosa</t>
        </is>
      </c>
      <c r="I11" s="3" t="inlineStr">
        <is>
          <t>Ninguno</t>
        </is>
      </c>
      <c r="J11" s="4" t="n">
        <v>0</v>
      </c>
      <c r="K11" s="5" t="n">
        <v>0</v>
      </c>
      <c r="L11" s="6" t="n">
        <v>0.05</v>
      </c>
      <c r="M11" s="4" t="n">
        <v>0</v>
      </c>
      <c r="N11" s="3" t="inlineStr">
        <is>
          <t>Radicada sin Objeción</t>
        </is>
      </c>
      <c r="O11" s="4" t="n">
        <v>0</v>
      </c>
      <c r="P11" s="4" t="n">
        <v>0</v>
      </c>
      <c r="Q11" s="3" t="inlineStr">
        <is>
          <t>Radicar automáticamente</t>
        </is>
      </c>
    </row>
    <row r="12" ht="20" customHeight="1">
      <c r="A12" s="2" t="inlineStr">
        <is>
          <t>FAC-2026-011</t>
        </is>
      </c>
      <c r="B12" s="3" t="inlineStr">
        <is>
          <t>Salud Total</t>
        </is>
      </c>
      <c r="C12" s="3" t="inlineStr">
        <is>
          <t>Contributivo</t>
        </is>
      </c>
      <c r="D12" s="3" t="inlineStr">
        <is>
          <t>Pediatría</t>
        </is>
      </c>
      <c r="E12" s="2" t="inlineStr">
        <is>
          <t>J189</t>
        </is>
      </c>
      <c r="F12" s="2" t="inlineStr">
        <is>
          <t>939400</t>
        </is>
      </c>
      <c r="G12" s="4" t="n">
        <v>850000</v>
      </c>
      <c r="H12" s="2" t="inlineStr">
        <is>
          <t>Sin Glosa</t>
        </is>
      </c>
      <c r="I12" s="3" t="inlineStr">
        <is>
          <t>Ninguno</t>
        </is>
      </c>
      <c r="J12" s="4" t="n">
        <v>0</v>
      </c>
      <c r="K12" s="5" t="n">
        <v>0</v>
      </c>
      <c r="L12" s="6" t="n">
        <v>0.1</v>
      </c>
      <c r="M12" s="4" t="n">
        <v>0</v>
      </c>
      <c r="N12" s="3" t="inlineStr">
        <is>
          <t>Radicada sin Objeción</t>
        </is>
      </c>
      <c r="O12" s="4" t="n">
        <v>0</v>
      </c>
      <c r="P12" s="4" t="n">
        <v>0</v>
      </c>
      <c r="Q12" s="3" t="inlineStr">
        <is>
          <t>Radicar automáticamente</t>
        </is>
      </c>
    </row>
    <row r="13" ht="20" customHeight="1">
      <c r="A13" s="2" t="inlineStr">
        <is>
          <t>FAC-2026-012</t>
        </is>
      </c>
      <c r="B13" s="3" t="inlineStr">
        <is>
          <t>Famisanar</t>
        </is>
      </c>
      <c r="C13" s="3" t="inlineStr">
        <is>
          <t>Subsidiado</t>
        </is>
      </c>
      <c r="D13" s="3" t="inlineStr">
        <is>
          <t>Traumatología</t>
        </is>
      </c>
      <c r="E13" s="2" t="inlineStr">
        <is>
          <t>S060</t>
        </is>
      </c>
      <c r="F13" s="2" t="inlineStr">
        <is>
          <t>879111</t>
        </is>
      </c>
      <c r="G13" s="4" t="n">
        <v>680000</v>
      </c>
      <c r="H13" s="2" t="inlineStr">
        <is>
          <t>Total (Servicio único)</t>
        </is>
      </c>
      <c r="I13" s="3" t="inlineStr">
        <is>
          <t>TAC cráneo objetado por falta escala Glasgow</t>
        </is>
      </c>
      <c r="J13" s="4" t="n">
        <v>680000</v>
      </c>
      <c r="K13" s="5" t="n">
        <v>1</v>
      </c>
      <c r="L13" s="7" t="n">
        <v>0.72</v>
      </c>
      <c r="M13" s="4" t="n">
        <v>489600</v>
      </c>
      <c r="N13" s="3" t="inlineStr">
        <is>
          <t>Levantada 100%</t>
        </is>
      </c>
      <c r="O13" s="4" t="n">
        <v>680000</v>
      </c>
      <c r="P13" s="4" t="n">
        <v>0</v>
      </c>
      <c r="Q13" s="3" t="inlineStr">
        <is>
          <t>Citar nota de pérdida transitoria de conciencia</t>
        </is>
      </c>
    </row>
    <row r="14" ht="20" customHeight="1">
      <c r="A14" s="2" t="inlineStr">
        <is>
          <t>FAC-2026-013</t>
        </is>
      </c>
      <c r="B14" s="3" t="inlineStr">
        <is>
          <t>EPS Sanitas</t>
        </is>
      </c>
      <c r="C14" s="3" t="inlineStr">
        <is>
          <t>Contributivo</t>
        </is>
      </c>
      <c r="D14" s="3" t="inlineStr">
        <is>
          <t>Urología</t>
        </is>
      </c>
      <c r="E14" s="2" t="inlineStr">
        <is>
          <t>N40X</t>
        </is>
      </c>
      <c r="F14" s="2" t="inlineStr">
        <is>
          <t>602901</t>
        </is>
      </c>
      <c r="G14" s="4" t="n">
        <v>4300000</v>
      </c>
      <c r="H14" s="2" t="inlineStr">
        <is>
          <t>Sin Glosa</t>
        </is>
      </c>
      <c r="I14" s="3" t="inlineStr">
        <is>
          <t>Ninguno</t>
        </is>
      </c>
      <c r="J14" s="4" t="n">
        <v>0</v>
      </c>
      <c r="K14" s="5" t="n">
        <v>0</v>
      </c>
      <c r="L14" s="6" t="n">
        <v>0.09</v>
      </c>
      <c r="M14" s="4" t="n">
        <v>0</v>
      </c>
      <c r="N14" s="3" t="inlineStr">
        <is>
          <t>Radicada sin Objeción</t>
        </is>
      </c>
      <c r="O14" s="4" t="n">
        <v>0</v>
      </c>
      <c r="P14" s="4" t="n">
        <v>0</v>
      </c>
      <c r="Q14" s="3" t="inlineStr">
        <is>
          <t>Radicar automáticamente</t>
        </is>
      </c>
    </row>
    <row r="15" ht="20" customHeight="1">
      <c r="A15" s="2" t="inlineStr">
        <is>
          <t>FAC-2026-014</t>
        </is>
      </c>
      <c r="B15" s="3" t="inlineStr">
        <is>
          <t>Nueva EPS</t>
        </is>
      </c>
      <c r="C15" s="3" t="inlineStr">
        <is>
          <t>Subsidiado</t>
        </is>
      </c>
      <c r="D15" s="3" t="inlineStr">
        <is>
          <t>Cirugía General</t>
        </is>
      </c>
      <c r="E15" s="2" t="inlineStr">
        <is>
          <t>K358</t>
        </is>
      </c>
      <c r="F15" s="2" t="inlineStr">
        <is>
          <t>470101</t>
        </is>
      </c>
      <c r="G15" s="4" t="n">
        <v>3900000</v>
      </c>
      <c r="H15" s="2" t="inlineStr">
        <is>
          <t>Parcial</t>
        </is>
      </c>
      <c r="I15" s="3" t="inlineStr">
        <is>
          <t>Discrepancia liquidación SOAT vs. ISS pactado</t>
        </is>
      </c>
      <c r="J15" s="4" t="n">
        <v>720000</v>
      </c>
      <c r="K15" s="5" t="n">
        <v>0.1846153846153846</v>
      </c>
      <c r="L15" s="5" t="n">
        <v>0.58</v>
      </c>
      <c r="M15" s="4" t="n">
        <v>417600</v>
      </c>
      <c r="N15" s="3" t="inlineStr">
        <is>
          <t>Levantada Parcial (50%)</t>
        </is>
      </c>
      <c r="O15" s="4" t="n">
        <v>360000</v>
      </c>
      <c r="P15" s="4" t="n">
        <v>360000</v>
      </c>
      <c r="Q15" s="3" t="inlineStr">
        <is>
          <t>Re-liquidar cuenta con manual pactado</t>
        </is>
      </c>
    </row>
    <row r="16" ht="20" customHeight="1">
      <c r="A16" s="2" t="inlineStr">
        <is>
          <t>FAC-2026-015</t>
        </is>
      </c>
      <c r="B16" s="3" t="inlineStr">
        <is>
          <t>Compensar</t>
        </is>
      </c>
      <c r="C16" s="3" t="inlineStr">
        <is>
          <t>Contributivo</t>
        </is>
      </c>
      <c r="D16" s="3" t="inlineStr">
        <is>
          <t>Gastroenterología</t>
        </is>
      </c>
      <c r="E16" s="2" t="inlineStr">
        <is>
          <t>K297</t>
        </is>
      </c>
      <c r="F16" s="2" t="inlineStr">
        <is>
          <t>441301</t>
        </is>
      </c>
      <c r="G16" s="4" t="n">
        <v>580000</v>
      </c>
      <c r="H16" s="2" t="inlineStr">
        <is>
          <t>Sin Glosa</t>
        </is>
      </c>
      <c r="I16" s="3" t="inlineStr">
        <is>
          <t>Ninguno</t>
        </is>
      </c>
      <c r="J16" s="4" t="n">
        <v>0</v>
      </c>
      <c r="K16" s="5" t="n">
        <v>0</v>
      </c>
      <c r="L16" s="6" t="n">
        <v>0.06</v>
      </c>
      <c r="M16" s="4" t="n">
        <v>0</v>
      </c>
      <c r="N16" s="3" t="inlineStr">
        <is>
          <t>Radicada sin Objeción</t>
        </is>
      </c>
      <c r="O16" s="4" t="n">
        <v>0</v>
      </c>
      <c r="P16" s="4" t="n">
        <v>0</v>
      </c>
      <c r="Q16" s="3" t="inlineStr">
        <is>
          <t>Radicar automáticamente</t>
        </is>
      </c>
    </row>
    <row r="17" ht="20" customHeight="1">
      <c r="A17" s="2" t="inlineStr">
        <is>
          <t>FAC-2026-016</t>
        </is>
      </c>
      <c r="B17" s="3" t="inlineStr">
        <is>
          <t>Sura EPS</t>
        </is>
      </c>
      <c r="C17" s="3" t="inlineStr">
        <is>
          <t>Contributivo</t>
        </is>
      </c>
      <c r="D17" s="3" t="inlineStr">
        <is>
          <t>Oftalmología</t>
        </is>
      </c>
      <c r="E17" s="2" t="inlineStr">
        <is>
          <t>H250</t>
        </is>
      </c>
      <c r="F17" s="2" t="inlineStr">
        <is>
          <t>136901</t>
        </is>
      </c>
      <c r="G17" s="4" t="n">
        <v>2950000</v>
      </c>
      <c r="H17" s="2" t="inlineStr">
        <is>
          <t>Sin Glosa</t>
        </is>
      </c>
      <c r="I17" s="3" t="inlineStr">
        <is>
          <t>Ninguno</t>
        </is>
      </c>
      <c r="J17" s="4" t="n">
        <v>0</v>
      </c>
      <c r="K17" s="5" t="n">
        <v>0</v>
      </c>
      <c r="L17" s="6" t="n">
        <v>0.07000000000000001</v>
      </c>
      <c r="M17" s="4" t="n">
        <v>0</v>
      </c>
      <c r="N17" s="3" t="inlineStr">
        <is>
          <t>Radicada sin Objeción</t>
        </is>
      </c>
      <c r="O17" s="4" t="n">
        <v>0</v>
      </c>
      <c r="P17" s="4" t="n">
        <v>0</v>
      </c>
      <c r="Q17" s="3" t="inlineStr">
        <is>
          <t>Radicar automáticamente</t>
        </is>
      </c>
    </row>
    <row r="18" ht="20" customHeight="1">
      <c r="A18" s="2" t="inlineStr">
        <is>
          <t>FAC-2026-017</t>
        </is>
      </c>
      <c r="B18" s="3" t="inlineStr">
        <is>
          <t>Nueva EPS</t>
        </is>
      </c>
      <c r="C18" s="3" t="inlineStr">
        <is>
          <t>Subsidiado</t>
        </is>
      </c>
      <c r="D18" s="3" t="inlineStr">
        <is>
          <t>Nefrología</t>
        </is>
      </c>
      <c r="E18" s="2" t="inlineStr">
        <is>
          <t>N185</t>
        </is>
      </c>
      <c r="F18" s="2" t="inlineStr">
        <is>
          <t>399501</t>
        </is>
      </c>
      <c r="G18" s="4" t="n">
        <v>320000</v>
      </c>
      <c r="H18" s="2" t="inlineStr">
        <is>
          <t>Total (Servicio único)</t>
        </is>
      </c>
      <c r="I18" s="3" t="inlineStr">
        <is>
          <t>Sesión 14 excede cupo mensual autorizado de 13</t>
        </is>
      </c>
      <c r="J18" s="4" t="n">
        <v>320000</v>
      </c>
      <c r="K18" s="5" t="n">
        <v>1</v>
      </c>
      <c r="L18" s="7" t="n">
        <v>0.89</v>
      </c>
      <c r="M18" s="4" t="n">
        <v>284800</v>
      </c>
      <c r="N18" s="3" t="inlineStr">
        <is>
          <t>Levantada 100%</t>
        </is>
      </c>
      <c r="O18" s="4" t="n">
        <v>320000</v>
      </c>
      <c r="P18" s="4" t="n">
        <v>0</v>
      </c>
      <c r="Q18" s="3" t="inlineStr">
        <is>
          <t>Solicitar ampliación de cupo a la EPS</t>
        </is>
      </c>
    </row>
    <row r="19" ht="20" customHeight="1">
      <c r="A19" s="2" t="inlineStr">
        <is>
          <t>FAC-2026-018</t>
        </is>
      </c>
      <c r="B19" s="3" t="inlineStr">
        <is>
          <t>Salud Total</t>
        </is>
      </c>
      <c r="C19" s="3" t="inlineStr">
        <is>
          <t>Contributivo</t>
        </is>
      </c>
      <c r="D19" s="3" t="inlineStr">
        <is>
          <t>Dermatología</t>
        </is>
      </c>
      <c r="E19" s="2" t="inlineStr">
        <is>
          <t>L700</t>
        </is>
      </c>
      <c r="F19" s="2" t="inlineStr">
        <is>
          <t>861101</t>
        </is>
      </c>
      <c r="G19" s="4" t="n">
        <v>240000</v>
      </c>
      <c r="H19" s="2" t="inlineStr">
        <is>
          <t>Sin Glosa</t>
        </is>
      </c>
      <c r="I19" s="3" t="inlineStr">
        <is>
          <t>Ninguno</t>
        </is>
      </c>
      <c r="J19" s="4" t="n">
        <v>0</v>
      </c>
      <c r="K19" s="5" t="n">
        <v>0</v>
      </c>
      <c r="L19" s="6" t="n">
        <v>0.08</v>
      </c>
      <c r="M19" s="4" t="n">
        <v>0</v>
      </c>
      <c r="N19" s="3" t="inlineStr">
        <is>
          <t>Radicada sin Objeción</t>
        </is>
      </c>
      <c r="O19" s="4" t="n">
        <v>0</v>
      </c>
      <c r="P19" s="4" t="n">
        <v>0</v>
      </c>
      <c r="Q19" s="3" t="inlineStr">
        <is>
          <t>Radicar automáticamente</t>
        </is>
      </c>
    </row>
    <row r="20" ht="20" customHeight="1">
      <c r="A20" s="2" t="inlineStr">
        <is>
          <t>FAC-2026-019</t>
        </is>
      </c>
      <c r="B20" s="3" t="inlineStr">
        <is>
          <t>Famisanar</t>
        </is>
      </c>
      <c r="C20" s="3" t="inlineStr">
        <is>
          <t>Contributivo</t>
        </is>
      </c>
      <c r="D20" s="3" t="inlineStr">
        <is>
          <t>Medicina Interna</t>
        </is>
      </c>
      <c r="E20" s="2" t="inlineStr">
        <is>
          <t>A09X</t>
        </is>
      </c>
      <c r="F20" s="2" t="inlineStr">
        <is>
          <t>890201</t>
        </is>
      </c>
      <c r="G20" s="4" t="n">
        <v>540000</v>
      </c>
      <c r="H20" s="2" t="inlineStr">
        <is>
          <t>Parcial</t>
        </is>
      </c>
      <c r="I20" s="3" t="inlineStr">
        <is>
          <t>Cobro ampolla ondansetrón no justificada</t>
        </is>
      </c>
      <c r="J20" s="4" t="n">
        <v>95000</v>
      </c>
      <c r="K20" s="5" t="n">
        <v>0.1759259259259259</v>
      </c>
      <c r="L20" s="5" t="n">
        <v>0.62</v>
      </c>
      <c r="M20" s="4" t="n">
        <v>58900</v>
      </c>
      <c r="N20" s="3" t="inlineStr">
        <is>
          <t>Levantada 100%</t>
        </is>
      </c>
      <c r="O20" s="4" t="n">
        <v>95000</v>
      </c>
      <c r="P20" s="4" t="n">
        <v>0</v>
      </c>
      <c r="Q20" s="3" t="inlineStr">
        <is>
          <t>Sustentar intolerancia vía oral en notas</t>
        </is>
      </c>
    </row>
    <row r="21" ht="20" customHeight="1">
      <c r="A21" s="2" t="inlineStr">
        <is>
          <t>FAC-2026-020</t>
        </is>
      </c>
      <c r="B21" s="3" t="inlineStr">
        <is>
          <t>EPS Sanitas</t>
        </is>
      </c>
      <c r="C21" s="3" t="inlineStr">
        <is>
          <t>Contributivo</t>
        </is>
      </c>
      <c r="D21" s="3" t="inlineStr">
        <is>
          <t>Neurocirugía</t>
        </is>
      </c>
      <c r="E21" s="2" t="inlineStr">
        <is>
          <t>G910</t>
        </is>
      </c>
      <c r="F21" s="2" t="inlineStr">
        <is>
          <t>023401</t>
        </is>
      </c>
      <c r="G21" s="4" t="n">
        <v>8900000</v>
      </c>
      <c r="H21" s="2" t="inlineStr">
        <is>
          <t>Sin Glosa</t>
        </is>
      </c>
      <c r="I21" s="3" t="inlineStr">
        <is>
          <t>Ninguno</t>
        </is>
      </c>
      <c r="J21" s="4" t="n">
        <v>0</v>
      </c>
      <c r="K21" s="5" t="n">
        <v>0</v>
      </c>
      <c r="L21" s="6" t="n">
        <v>0.14</v>
      </c>
      <c r="M21" s="4" t="n">
        <v>0</v>
      </c>
      <c r="N21" s="3" t="inlineStr">
        <is>
          <t>Radicada sin Objeción</t>
        </is>
      </c>
      <c r="O21" s="4" t="n">
        <v>0</v>
      </c>
      <c r="P21" s="4" t="n">
        <v>0</v>
      </c>
      <c r="Q21" s="3" t="inlineStr">
        <is>
          <t>Radicar automáticamente</t>
        </is>
      </c>
    </row>
    <row r="22" ht="20" customHeight="1">
      <c r="A22" s="2" t="inlineStr">
        <is>
          <t>FAC-2026-021</t>
        </is>
      </c>
      <c r="B22" s="3" t="inlineStr">
        <is>
          <t>Nueva EPS</t>
        </is>
      </c>
      <c r="C22" s="3" t="inlineStr">
        <is>
          <t>Subsidiado</t>
        </is>
      </c>
      <c r="D22" s="3" t="inlineStr">
        <is>
          <t>Ortopedia</t>
        </is>
      </c>
      <c r="E22" s="2" t="inlineStr">
        <is>
          <t>M161</t>
        </is>
      </c>
      <c r="F22" s="2" t="inlineStr">
        <is>
          <t>815101</t>
        </is>
      </c>
      <c r="G22" s="4" t="n">
        <v>14800000</v>
      </c>
      <c r="H22" s="2" t="inlineStr">
        <is>
          <t>Parcial</t>
        </is>
      </c>
      <c r="I22" s="3" t="inlineStr">
        <is>
          <t>Prótesis cobrada excede tope máximo contratado</t>
        </is>
      </c>
      <c r="J22" s="4" t="n">
        <v>2600000</v>
      </c>
      <c r="K22" s="5" t="n">
        <v>0.1756756756756757</v>
      </c>
      <c r="L22" s="7" t="n">
        <v>0.74</v>
      </c>
      <c r="M22" s="4" t="n">
        <v>1924000</v>
      </c>
      <c r="N22" s="3" t="inlineStr">
        <is>
          <t>Levantada Parcial (50%)</t>
        </is>
      </c>
      <c r="O22" s="4" t="n">
        <v>1300000</v>
      </c>
      <c r="P22" s="4" t="n">
        <v>1300000</v>
      </c>
      <c r="Q22" s="3" t="inlineStr">
        <is>
          <t>Validar factura del proveedor de implantes</t>
        </is>
      </c>
    </row>
    <row r="23" ht="20" customHeight="1">
      <c r="A23" s="2" t="inlineStr">
        <is>
          <t>FAC-2026-022</t>
        </is>
      </c>
      <c r="B23" s="3" t="inlineStr">
        <is>
          <t>Sura EPS</t>
        </is>
      </c>
      <c r="C23" s="3" t="inlineStr">
        <is>
          <t>Contributivo</t>
        </is>
      </c>
      <c r="D23" s="3" t="inlineStr">
        <is>
          <t>Cirugía Vascular</t>
        </is>
      </c>
      <c r="E23" s="2" t="inlineStr">
        <is>
          <t>I839</t>
        </is>
      </c>
      <c r="F23" s="2" t="inlineStr">
        <is>
          <t>385901</t>
        </is>
      </c>
      <c r="G23" s="4" t="n">
        <v>3400000</v>
      </c>
      <c r="H23" s="2" t="inlineStr">
        <is>
          <t>Sin Glosa</t>
        </is>
      </c>
      <c r="I23" s="3" t="inlineStr">
        <is>
          <t>Ninguno</t>
        </is>
      </c>
      <c r="J23" s="4" t="n">
        <v>0</v>
      </c>
      <c r="K23" s="5" t="n">
        <v>0</v>
      </c>
      <c r="L23" s="6" t="n">
        <v>0.11</v>
      </c>
      <c r="M23" s="4" t="n">
        <v>0</v>
      </c>
      <c r="N23" s="3" t="inlineStr">
        <is>
          <t>Radicada sin Objeción</t>
        </is>
      </c>
      <c r="O23" s="4" t="n">
        <v>0</v>
      </c>
      <c r="P23" s="4" t="n">
        <v>0</v>
      </c>
      <c r="Q23" s="3" t="inlineStr">
        <is>
          <t>Radicar automáticamente</t>
        </is>
      </c>
    </row>
    <row r="24" ht="20" customHeight="1">
      <c r="A24" s="2" t="inlineStr">
        <is>
          <t>FAC-2026-023</t>
        </is>
      </c>
      <c r="B24" s="3" t="inlineStr">
        <is>
          <t>Compensar</t>
        </is>
      </c>
      <c r="C24" s="3" t="inlineStr">
        <is>
          <t>Contributivo</t>
        </is>
      </c>
      <c r="D24" s="3" t="inlineStr">
        <is>
          <t>Urgencias / Obs</t>
        </is>
      </c>
      <c r="E24" s="2" t="inlineStr">
        <is>
          <t>K566</t>
        </is>
      </c>
      <c r="F24" s="2" t="inlineStr">
        <is>
          <t>890701</t>
        </is>
      </c>
      <c r="G24" s="4" t="n">
        <v>1100000</v>
      </c>
      <c r="H24" s="2" t="inlineStr">
        <is>
          <t>Parcial</t>
        </is>
      </c>
      <c r="I24" s="3" t="inlineStr">
        <is>
          <t>Falta resultado de cuadro hemático en paquete</t>
        </is>
      </c>
      <c r="J24" s="4" t="n">
        <v>180000</v>
      </c>
      <c r="K24" s="5" t="n">
        <v>0.1636363636363636</v>
      </c>
      <c r="L24" s="7" t="n">
        <v>0.8100000000000001</v>
      </c>
      <c r="M24" s="4" t="n">
        <v>145800</v>
      </c>
      <c r="N24" s="3" t="inlineStr">
        <is>
          <t>Levantada 100%</t>
        </is>
      </c>
      <c r="O24" s="4" t="n">
        <v>180000</v>
      </c>
      <c r="P24" s="4" t="n">
        <v>0</v>
      </c>
      <c r="Q24" s="3" t="inlineStr">
        <is>
          <t>Adjuntar reporte del laboratorio</t>
        </is>
      </c>
    </row>
    <row r="25" ht="20" customHeight="1">
      <c r="A25" s="2" t="inlineStr">
        <is>
          <t>FAC-2026-024</t>
        </is>
      </c>
      <c r="B25" s="3" t="inlineStr">
        <is>
          <t>Salud Total</t>
        </is>
      </c>
      <c r="C25" s="3" t="inlineStr">
        <is>
          <t>Contributivo</t>
        </is>
      </c>
      <c r="D25" s="3" t="inlineStr">
        <is>
          <t>Otorrino</t>
        </is>
      </c>
      <c r="E25" s="2" t="inlineStr">
        <is>
          <t>J350</t>
        </is>
      </c>
      <c r="F25" s="2" t="inlineStr">
        <is>
          <t>282101</t>
        </is>
      </c>
      <c r="G25" s="4" t="n">
        <v>2200000</v>
      </c>
      <c r="H25" s="2" t="inlineStr">
        <is>
          <t>Sin Glosa</t>
        </is>
      </c>
      <c r="I25" s="3" t="inlineStr">
        <is>
          <t>Ninguno</t>
        </is>
      </c>
      <c r="J25" s="4" t="n">
        <v>0</v>
      </c>
      <c r="K25" s="5" t="n">
        <v>0</v>
      </c>
      <c r="L25" s="6" t="n">
        <v>0.08</v>
      </c>
      <c r="M25" s="4" t="n">
        <v>0</v>
      </c>
      <c r="N25" s="3" t="inlineStr">
        <is>
          <t>Radicada sin Objeción</t>
        </is>
      </c>
      <c r="O25" s="4" t="n">
        <v>0</v>
      </c>
      <c r="P25" s="4" t="n">
        <v>0</v>
      </c>
      <c r="Q25" s="3" t="inlineStr">
        <is>
          <t>Radicar automáticamente</t>
        </is>
      </c>
    </row>
    <row r="26" ht="20" customHeight="1">
      <c r="A26" s="2" t="inlineStr">
        <is>
          <t>FAC-2026-025</t>
        </is>
      </c>
      <c r="B26" s="3" t="inlineStr">
        <is>
          <t>Nueva EPS</t>
        </is>
      </c>
      <c r="C26" s="3" t="inlineStr">
        <is>
          <t>Subsidiado</t>
        </is>
      </c>
      <c r="D26" s="3" t="inlineStr">
        <is>
          <t>Infectología / UCI</t>
        </is>
      </c>
      <c r="E26" s="2" t="inlineStr">
        <is>
          <t>A419</t>
        </is>
      </c>
      <c r="F26" s="2" t="inlineStr">
        <is>
          <t>895100</t>
        </is>
      </c>
      <c r="G26" s="4" t="n">
        <v>24500000</v>
      </c>
      <c r="H26" s="2" t="inlineStr">
        <is>
          <t>Parcial</t>
        </is>
      </c>
      <c r="I26" s="3" t="inlineStr">
        <is>
          <t>5 días de estancia UCI tras extubación objetados</t>
        </is>
      </c>
      <c r="J26" s="4" t="n">
        <v>6500000</v>
      </c>
      <c r="K26" s="5" t="n">
        <v>0.2653061224489796</v>
      </c>
      <c r="L26" s="7" t="n">
        <v>0.86</v>
      </c>
      <c r="M26" s="4" t="n">
        <v>5590000</v>
      </c>
      <c r="N26" s="3" t="inlineStr">
        <is>
          <t>Levantada Parcial (60%)</t>
        </is>
      </c>
      <c r="O26" s="4" t="n">
        <v>3900000</v>
      </c>
      <c r="P26" s="4" t="n">
        <v>2600000</v>
      </c>
      <c r="Q26" s="3" t="inlineStr">
        <is>
          <t>Auditoría concurrente con notas médicas</t>
        </is>
      </c>
    </row>
    <row r="27" ht="20" customHeight="1">
      <c r="A27" s="2" t="inlineStr">
        <is>
          <t>FAC-2026-026</t>
        </is>
      </c>
      <c r="B27" s="3" t="inlineStr">
        <is>
          <t>Famisanar</t>
        </is>
      </c>
      <c r="C27" s="3" t="inlineStr">
        <is>
          <t>Subsidiado</t>
        </is>
      </c>
      <c r="D27" s="3" t="inlineStr">
        <is>
          <t>Cirugía General</t>
        </is>
      </c>
      <c r="E27" s="2" t="inlineStr">
        <is>
          <t>K409</t>
        </is>
      </c>
      <c r="F27" s="2" t="inlineStr">
        <is>
          <t>530101</t>
        </is>
      </c>
      <c r="G27" s="4" t="n">
        <v>2800000</v>
      </c>
      <c r="H27" s="2" t="inlineStr">
        <is>
          <t>Sin Glosa</t>
        </is>
      </c>
      <c r="I27" s="3" t="inlineStr">
        <is>
          <t>Ninguno</t>
        </is>
      </c>
      <c r="J27" s="4" t="n">
        <v>0</v>
      </c>
      <c r="K27" s="5" t="n">
        <v>0</v>
      </c>
      <c r="L27" s="6" t="n">
        <v>0.09</v>
      </c>
      <c r="M27" s="4" t="n">
        <v>0</v>
      </c>
      <c r="N27" s="3" t="inlineStr">
        <is>
          <t>Radicada sin Objeción</t>
        </is>
      </c>
      <c r="O27" s="4" t="n">
        <v>0</v>
      </c>
      <c r="P27" s="4" t="n">
        <v>0</v>
      </c>
      <c r="Q27" s="3" t="inlineStr">
        <is>
          <t>Radicar automáticamente</t>
        </is>
      </c>
    </row>
    <row r="28" ht="20" customHeight="1">
      <c r="A28" s="2" t="inlineStr">
        <is>
          <t>FAC-2026-027</t>
        </is>
      </c>
      <c r="B28" s="3" t="inlineStr">
        <is>
          <t>EPS Sanitas</t>
        </is>
      </c>
      <c r="C28" s="3" t="inlineStr">
        <is>
          <t>Contributivo</t>
        </is>
      </c>
      <c r="D28" s="3" t="inlineStr">
        <is>
          <t>Psiquiatría</t>
        </is>
      </c>
      <c r="E28" s="2" t="inlineStr">
        <is>
          <t>F322</t>
        </is>
      </c>
      <c r="F28" s="2" t="inlineStr">
        <is>
          <t>890201</t>
        </is>
      </c>
      <c r="G28" s="4" t="n">
        <v>350000</v>
      </c>
      <c r="H28" s="2" t="inlineStr">
        <is>
          <t>Sin Glosa</t>
        </is>
      </c>
      <c r="I28" s="3" t="inlineStr">
        <is>
          <t>Ninguno</t>
        </is>
      </c>
      <c r="J28" s="4" t="n">
        <v>0</v>
      </c>
      <c r="K28" s="5" t="n">
        <v>0</v>
      </c>
      <c r="L28" s="6" t="n">
        <v>0.05</v>
      </c>
      <c r="M28" s="4" t="n">
        <v>0</v>
      </c>
      <c r="N28" s="3" t="inlineStr">
        <is>
          <t>Radicada sin Objeción</t>
        </is>
      </c>
      <c r="O28" s="4" t="n">
        <v>0</v>
      </c>
      <c r="P28" s="4" t="n">
        <v>0</v>
      </c>
      <c r="Q28" s="3" t="inlineStr">
        <is>
          <t>Radicar automáticamente</t>
        </is>
      </c>
    </row>
    <row r="29" ht="20" customHeight="1">
      <c r="A29" s="2" t="inlineStr">
        <is>
          <t>FAC-2026-028</t>
        </is>
      </c>
      <c r="B29" s="3" t="inlineStr">
        <is>
          <t>Sura EPS</t>
        </is>
      </c>
      <c r="C29" s="3" t="inlineStr">
        <is>
          <t>Contributivo</t>
        </is>
      </c>
      <c r="D29" s="3" t="inlineStr">
        <is>
          <t>Ginecología</t>
        </is>
      </c>
      <c r="E29" s="2" t="inlineStr">
        <is>
          <t>N800</t>
        </is>
      </c>
      <c r="F29" s="2" t="inlineStr">
        <is>
          <t>684101</t>
        </is>
      </c>
      <c r="G29" s="4" t="n">
        <v>5100000</v>
      </c>
      <c r="H29" s="2" t="inlineStr">
        <is>
          <t>Sin Glosa</t>
        </is>
      </c>
      <c r="I29" s="3" t="inlineStr">
        <is>
          <t>Ninguno</t>
        </is>
      </c>
      <c r="J29" s="4" t="n">
        <v>0</v>
      </c>
      <c r="K29" s="5" t="n">
        <v>0</v>
      </c>
      <c r="L29" s="6" t="n">
        <v>0.12</v>
      </c>
      <c r="M29" s="4" t="n">
        <v>0</v>
      </c>
      <c r="N29" s="3" t="inlineStr">
        <is>
          <t>Radicada sin Objeción</t>
        </is>
      </c>
      <c r="O29" s="4" t="n">
        <v>0</v>
      </c>
      <c r="P29" s="4" t="n">
        <v>0</v>
      </c>
      <c r="Q29" s="3" t="inlineStr">
        <is>
          <t>Radicar automáticamente</t>
        </is>
      </c>
    </row>
    <row r="30" ht="20" customHeight="1">
      <c r="A30" s="2" t="inlineStr">
        <is>
          <t>FAC-2026-029</t>
        </is>
      </c>
      <c r="B30" s="3" t="inlineStr">
        <is>
          <t>Nueva EPS</t>
        </is>
      </c>
      <c r="C30" s="3" t="inlineStr">
        <is>
          <t>Contributivo</t>
        </is>
      </c>
      <c r="D30" s="3" t="inlineStr">
        <is>
          <t>Reumatología</t>
        </is>
      </c>
      <c r="E30" s="2" t="inlineStr">
        <is>
          <t>M058</t>
        </is>
      </c>
      <c r="F30" s="2" t="inlineStr">
        <is>
          <t>992501</t>
        </is>
      </c>
      <c r="G30" s="4" t="n">
        <v>7800000</v>
      </c>
      <c r="H30" s="2" t="inlineStr">
        <is>
          <t>Total (Devolución)</t>
        </is>
      </c>
      <c r="I30" s="3" t="inlineStr">
        <is>
          <t>Falta prescripción Mipres de medicamento biológico</t>
        </is>
      </c>
      <c r="J30" s="4" t="n">
        <v>7800000</v>
      </c>
      <c r="K30" s="5" t="n">
        <v>1</v>
      </c>
      <c r="L30" s="7" t="n">
        <v>0.9399999999999999</v>
      </c>
      <c r="M30" s="4" t="n">
        <v>7332000</v>
      </c>
      <c r="N30" s="3" t="inlineStr">
        <is>
          <t>Levantada 100%</t>
        </is>
      </c>
      <c r="O30" s="4" t="n">
        <v>7800000</v>
      </c>
      <c r="P30" s="4" t="n">
        <v>0</v>
      </c>
      <c r="Q30" s="3" t="inlineStr">
        <is>
          <t>Subir fórmula Mipres validada</t>
        </is>
      </c>
    </row>
    <row r="31" ht="20" customHeight="1">
      <c r="A31" s="2" t="inlineStr">
        <is>
          <t>FAC-2026-030</t>
        </is>
      </c>
      <c r="B31" s="3" t="inlineStr">
        <is>
          <t>Salud Total</t>
        </is>
      </c>
      <c r="C31" s="3" t="inlineStr">
        <is>
          <t>Contributivo</t>
        </is>
      </c>
      <c r="D31" s="3" t="inlineStr">
        <is>
          <t>Urgencias</t>
        </is>
      </c>
      <c r="E31" s="2" t="inlineStr">
        <is>
          <t>S623</t>
        </is>
      </c>
      <c r="F31" s="2" t="inlineStr">
        <is>
          <t>790401</t>
        </is>
      </c>
      <c r="G31" s="4" t="n">
        <v>480000</v>
      </c>
      <c r="H31" s="2" t="inlineStr">
        <is>
          <t>Sin Glosa</t>
        </is>
      </c>
      <c r="I31" s="3" t="inlineStr">
        <is>
          <t>Ninguno</t>
        </is>
      </c>
      <c r="J31" s="4" t="n">
        <v>0</v>
      </c>
      <c r="K31" s="5" t="n">
        <v>0</v>
      </c>
      <c r="L31" s="6" t="n">
        <v>0.07000000000000001</v>
      </c>
      <c r="M31" s="4" t="n">
        <v>0</v>
      </c>
      <c r="N31" s="3" t="inlineStr">
        <is>
          <t>Radicada sin Objeción</t>
        </is>
      </c>
      <c r="O31" s="4" t="n">
        <v>0</v>
      </c>
      <c r="P31" s="4" t="n">
        <v>0</v>
      </c>
      <c r="Q31" s="3" t="inlineStr">
        <is>
          <t>Radicar automáticamente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25" customWidth="1" min="6" max="6"/>
    <col width="45" customWidth="1" min="7" max="7"/>
  </cols>
  <sheetData>
    <row r="1" ht="32" customHeight="1">
      <c r="A1" s="8" t="inlineStr">
        <is>
          <t>ANÁLISIS FINANCIERO Y ACTUARIAL DE GLOSAS (MUNDO SALUD MÉDICA - CLÍNICA METROPOLITANA)</t>
        </is>
      </c>
    </row>
    <row r="2"/>
    <row r="3" ht="22" customHeight="1">
      <c r="A3" s="9" t="inlineStr">
        <is>
          <t>1. Total Facturación Auditada en la Muestra:</t>
        </is>
      </c>
      <c r="B3" s="10">
        <f>SUM(Dataset_Cuentas_Medicas!G2:G31)</f>
        <v/>
      </c>
      <c r="C3" s="11" t="inlineStr">
        <is>
          <t>COP</t>
        </is>
      </c>
      <c r="D3" s="11" t="inlineStr">
        <is>
          <t>Monto total de las 30 cuentas radicadas</t>
        </is>
      </c>
    </row>
    <row r="4" ht="22" customHeight="1">
      <c r="A4" s="9" t="inlineStr">
        <is>
          <t>2. Facturación Expuesta (Cuentas con alguna objeción):</t>
        </is>
      </c>
      <c r="B4" s="10">
        <f>SUMIF(Dataset_Cuentas_Medicas!H2:H31, "&lt;&gt;Sin Glosa", Dataset_Cuentas_Medicas!G2:G31)</f>
        <v/>
      </c>
      <c r="C4" s="11" t="inlineStr">
        <is>
          <t>COP</t>
        </is>
      </c>
      <c r="D4" s="11" t="inlineStr">
        <is>
          <t>Valor de facturas con alerta, sin ponderar severidad</t>
        </is>
      </c>
    </row>
    <row r="5" ht="22" customHeight="1">
      <c r="A5" s="9" t="inlineStr">
        <is>
          <t>3. MONTO EFECTIVAMENTE GLOSADO POR LAS EPS:</t>
        </is>
      </c>
      <c r="B5" s="10">
        <f>SUM(Dataset_Cuentas_Medicas!J2:J31)</f>
        <v/>
      </c>
      <c r="C5" s="11" t="inlineStr">
        <is>
          <t>COP</t>
        </is>
      </c>
      <c r="D5" s="11" t="inlineStr">
        <is>
          <t>Importe real objetado por las aseguradoras</t>
        </is>
      </c>
    </row>
    <row r="6" ht="22" customHeight="1">
      <c r="A6" s="9" t="inlineStr">
        <is>
          <t>4. Tasa de Glosa Efectiva sobre Facturación (%):</t>
        </is>
      </c>
      <c r="B6" s="12">
        <f>B5/B3</f>
        <v/>
      </c>
      <c r="C6" s="11" t="inlineStr">
        <is>
          <t>%</t>
        </is>
      </c>
      <c r="D6" s="11" t="inlineStr">
        <is>
          <t>Severidad real de glosa del periodo</t>
        </is>
      </c>
    </row>
    <row r="7" ht="22" customHeight="1">
      <c r="A7" s="9" t="inlineStr">
        <is>
          <t>5. Provisión Contable / Pérdida Esperada con IA:</t>
        </is>
      </c>
      <c r="B7" s="10">
        <f>SUM(Dataset_Cuentas_Medicas!M2:M31)</f>
        <v/>
      </c>
      <c r="C7" s="11" t="inlineStr">
        <is>
          <t>COP</t>
        </is>
      </c>
      <c r="D7" s="11" t="inlineStr">
        <is>
          <t>Expected Loss = Monto Glosado × Probabilidad IA</t>
        </is>
      </c>
    </row>
    <row r="8" ht="22" customHeight="1">
      <c r="A8" s="9" t="inlineStr">
        <is>
          <t>6. Monto Recuperado mediante Sustentación IA:</t>
        </is>
      </c>
      <c r="B8" s="10">
        <f>SUM(Dataset_Cuentas_Medicas!O2:O31)</f>
        <v/>
      </c>
      <c r="C8" s="11" t="inlineStr">
        <is>
          <t>COP</t>
        </is>
      </c>
      <c r="D8" s="11" t="inlineStr">
        <is>
          <t>Valor levantado tras objeción fundamentada</t>
        </is>
      </c>
    </row>
    <row r="9" ht="22" customHeight="1">
      <c r="A9" s="9" t="inlineStr">
        <is>
          <t>7. TASA DE RECUPERACIÓN EFECTIVA (Recovery Rate):</t>
        </is>
      </c>
      <c r="B9" s="13">
        <f>B8/B5</f>
        <v/>
      </c>
      <c r="C9" s="11" t="inlineStr">
        <is>
          <t>%</t>
        </is>
      </c>
      <c r="D9" s="11" t="inlineStr">
        <is>
          <t>Porcentaje rescatado de las glosas recibidas</t>
        </is>
      </c>
    </row>
    <row r="10" ht="22" customHeight="1">
      <c r="A10" s="9" t="inlineStr">
        <is>
          <t>8. Pérdida Neta Definitiva para la IPS:</t>
        </is>
      </c>
      <c r="B10" s="10">
        <f>SUM(Dataset_Cuentas_Medicas!P2:P31)</f>
        <v/>
      </c>
      <c r="C10" s="11" t="inlineStr">
        <is>
          <t>COP</t>
        </is>
      </c>
      <c r="D10" s="11" t="inlineStr">
        <is>
          <t>Glosas aceptadas por error de la IPS</t>
        </is>
      </c>
    </row>
    <row r="11" ht="22" customHeight="1">
      <c r="A11" s="9" t="inlineStr">
        <is>
          <t>9. Tasa Final de Pérdida sobre Facturación:</t>
        </is>
      </c>
      <c r="B11" s="12">
        <f>B10/B3</f>
        <v/>
      </c>
      <c r="C11" s="11" t="inlineStr">
        <is>
          <t>%</t>
        </is>
      </c>
      <c r="D11" s="11" t="inlineStr">
        <is>
          <t>Meta alcanzada: &lt; 5.0% de deterioro de cartera</t>
        </is>
      </c>
    </row>
    <row r="12"/>
    <row r="13"/>
    <row r="14">
      <c r="A14" s="14" t="inlineStr">
        <is>
          <t>COMPARATIVA POR EPS: FACTURACIÓN EXPUESTA VS. MONTO EFECTIVAMENTE GLOSADO</t>
        </is>
      </c>
    </row>
    <row r="15" ht="24" customHeight="1">
      <c r="A15" s="15" t="inlineStr">
        <is>
          <t>EPS Aseguradora</t>
        </is>
      </c>
      <c r="B15" s="15" t="inlineStr">
        <is>
          <t>Facturas</t>
        </is>
      </c>
      <c r="C15" s="15" t="inlineStr">
        <is>
          <t>Facturación Total</t>
        </is>
      </c>
      <c r="D15" s="15" t="inlineStr">
        <is>
          <t>Facturación Expuesta</t>
        </is>
      </c>
      <c r="E15" s="15" t="inlineStr">
        <is>
          <t>Monto Realmente Glosado</t>
        </is>
      </c>
      <c r="F15" s="15" t="inlineStr">
        <is>
          <t>Severidad Real %</t>
        </is>
      </c>
      <c r="G15" s="15" t="inlineStr">
        <is>
          <t>Monto Recuperado IA</t>
        </is>
      </c>
    </row>
    <row r="16" ht="20" customHeight="1">
      <c r="A16" s="16" t="inlineStr">
        <is>
          <t>Nueva EPS</t>
        </is>
      </c>
      <c r="B16" s="17">
        <f>COUNTIF(Dataset_Cuentas_Medicas!$B$2:$B$31, "Nueva EPS")</f>
        <v/>
      </c>
      <c r="C16" s="18">
        <f>SUMIF(Dataset_Cuentas_Medicas!$B$2:$B$31, "Nueva EPS", Dataset_Cuentas_Medicas!$G$2:$G$31)</f>
        <v/>
      </c>
      <c r="D16" s="18">
        <f>SUMIFS(Dataset_Cuentas_Medicas!$G$2:$G$31, Dataset_Cuentas_Medicas!$B$2:$B$31, "Nueva EPS", Dataset_Cuentas_Medicas!$H$2:$H$31, "&lt;&gt;Sin Glosa")</f>
        <v/>
      </c>
      <c r="E16" s="18">
        <f>SUMIF(Dataset_Cuentas_Medicas!$B$2:$B$31, "Nueva EPS", Dataset_Cuentas_Medicas!$J$2:$J$31)</f>
        <v/>
      </c>
      <c r="F16" s="19">
        <f>IF(C16&gt;0, E16/C16, 0)</f>
        <v/>
      </c>
      <c r="G16" s="18">
        <f>SUMIF(Dataset_Cuentas_Medicas!$B$2:$B$31, "Nueva EPS", Dataset_Cuentas_Medicas!$O$2:$O$31)</f>
        <v/>
      </c>
    </row>
    <row r="17" ht="20" customHeight="1">
      <c r="A17" s="16" t="inlineStr">
        <is>
          <t>Sura EPS</t>
        </is>
      </c>
      <c r="B17" s="17">
        <f>COUNTIF(Dataset_Cuentas_Medicas!$B$2:$B$31, "Sura EPS")</f>
        <v/>
      </c>
      <c r="C17" s="18">
        <f>SUMIF(Dataset_Cuentas_Medicas!$B$2:$B$31, "Sura EPS", Dataset_Cuentas_Medicas!$G$2:$G$31)</f>
        <v/>
      </c>
      <c r="D17" s="18">
        <f>SUMIFS(Dataset_Cuentas_Medicas!$G$2:$G$31, Dataset_Cuentas_Medicas!$B$2:$B$31, "Sura EPS", Dataset_Cuentas_Medicas!$H$2:$H$31, "&lt;&gt;Sin Glosa")</f>
        <v/>
      </c>
      <c r="E17" s="18">
        <f>SUMIF(Dataset_Cuentas_Medicas!$B$2:$B$31, "Sura EPS", Dataset_Cuentas_Medicas!$J$2:$J$31)</f>
        <v/>
      </c>
      <c r="F17" s="19">
        <f>IF(C17&gt;0, E17/C17, 0)</f>
        <v/>
      </c>
      <c r="G17" s="18">
        <f>SUMIF(Dataset_Cuentas_Medicas!$B$2:$B$31, "Sura EPS", Dataset_Cuentas_Medicas!$O$2:$O$31)</f>
        <v/>
      </c>
    </row>
    <row r="18" ht="20" customHeight="1">
      <c r="A18" s="16" t="inlineStr">
        <is>
          <t>EPS Sanitas</t>
        </is>
      </c>
      <c r="B18" s="17">
        <f>COUNTIF(Dataset_Cuentas_Medicas!$B$2:$B$31, "EPS Sanitas")</f>
        <v/>
      </c>
      <c r="C18" s="18">
        <f>SUMIF(Dataset_Cuentas_Medicas!$B$2:$B$31, "EPS Sanitas", Dataset_Cuentas_Medicas!$G$2:$G$31)</f>
        <v/>
      </c>
      <c r="D18" s="18">
        <f>SUMIFS(Dataset_Cuentas_Medicas!$G$2:$G$31, Dataset_Cuentas_Medicas!$B$2:$B$31, "EPS Sanitas", Dataset_Cuentas_Medicas!$H$2:$H$31, "&lt;&gt;Sin Glosa")</f>
        <v/>
      </c>
      <c r="E18" s="18">
        <f>SUMIF(Dataset_Cuentas_Medicas!$B$2:$B$31, "EPS Sanitas", Dataset_Cuentas_Medicas!$J$2:$J$31)</f>
        <v/>
      </c>
      <c r="F18" s="19">
        <f>IF(C18&gt;0, E18/C18, 0)</f>
        <v/>
      </c>
      <c r="G18" s="18">
        <f>SUMIF(Dataset_Cuentas_Medicas!$B$2:$B$31, "EPS Sanitas", Dataset_Cuentas_Medicas!$O$2:$O$31)</f>
        <v/>
      </c>
    </row>
    <row r="19" ht="20" customHeight="1">
      <c r="A19" s="16" t="inlineStr">
        <is>
          <t>Famisanar</t>
        </is>
      </c>
      <c r="B19" s="17">
        <f>COUNTIF(Dataset_Cuentas_Medicas!$B$2:$B$31, "Famisanar")</f>
        <v/>
      </c>
      <c r="C19" s="18">
        <f>SUMIF(Dataset_Cuentas_Medicas!$B$2:$B$31, "Famisanar", Dataset_Cuentas_Medicas!$G$2:$G$31)</f>
        <v/>
      </c>
      <c r="D19" s="18">
        <f>SUMIFS(Dataset_Cuentas_Medicas!$G$2:$G$31, Dataset_Cuentas_Medicas!$B$2:$B$31, "Famisanar", Dataset_Cuentas_Medicas!$H$2:$H$31, "&lt;&gt;Sin Glosa")</f>
        <v/>
      </c>
      <c r="E19" s="18">
        <f>SUMIF(Dataset_Cuentas_Medicas!$B$2:$B$31, "Famisanar", Dataset_Cuentas_Medicas!$J$2:$J$31)</f>
        <v/>
      </c>
      <c r="F19" s="19">
        <f>IF(C19&gt;0, E19/C19, 0)</f>
        <v/>
      </c>
      <c r="G19" s="18">
        <f>SUMIF(Dataset_Cuentas_Medicas!$B$2:$B$31, "Famisanar", Dataset_Cuentas_Medicas!$O$2:$O$31)</f>
        <v/>
      </c>
    </row>
    <row r="20" ht="20" customHeight="1">
      <c r="A20" s="16" t="inlineStr">
        <is>
          <t>Compensar</t>
        </is>
      </c>
      <c r="B20" s="17">
        <f>COUNTIF(Dataset_Cuentas_Medicas!$B$2:$B$31, "Compensar")</f>
        <v/>
      </c>
      <c r="C20" s="18">
        <f>SUMIF(Dataset_Cuentas_Medicas!$B$2:$B$31, "Compensar", Dataset_Cuentas_Medicas!$G$2:$G$31)</f>
        <v/>
      </c>
      <c r="D20" s="18">
        <f>SUMIFS(Dataset_Cuentas_Medicas!$G$2:$G$31, Dataset_Cuentas_Medicas!$B$2:$B$31, "Compensar", Dataset_Cuentas_Medicas!$H$2:$H$31, "&lt;&gt;Sin Glosa")</f>
        <v/>
      </c>
      <c r="E20" s="18">
        <f>SUMIF(Dataset_Cuentas_Medicas!$B$2:$B$31, "Compensar", Dataset_Cuentas_Medicas!$J$2:$J$31)</f>
        <v/>
      </c>
      <c r="F20" s="19">
        <f>IF(C20&gt;0, E20/C20, 0)</f>
        <v/>
      </c>
      <c r="G20" s="18">
        <f>SUMIF(Dataset_Cuentas_Medicas!$B$2:$B$31, "Compensar", Dataset_Cuentas_Medicas!$O$2:$O$31)</f>
        <v/>
      </c>
    </row>
    <row r="21" ht="20" customHeight="1">
      <c r="A21" s="16" t="inlineStr">
        <is>
          <t>Salud Total</t>
        </is>
      </c>
      <c r="B21" s="17">
        <f>COUNTIF(Dataset_Cuentas_Medicas!$B$2:$B$31, "Salud Total")</f>
        <v/>
      </c>
      <c r="C21" s="18">
        <f>SUMIF(Dataset_Cuentas_Medicas!$B$2:$B$31, "Salud Total", Dataset_Cuentas_Medicas!$G$2:$G$31)</f>
        <v/>
      </c>
      <c r="D21" s="18">
        <f>SUMIFS(Dataset_Cuentas_Medicas!$G$2:$G$31, Dataset_Cuentas_Medicas!$B$2:$B$31, "Salud Total", Dataset_Cuentas_Medicas!$H$2:$H$31, "&lt;&gt;Sin Glosa")</f>
        <v/>
      </c>
      <c r="E21" s="18">
        <f>SUMIF(Dataset_Cuentas_Medicas!$B$2:$B$31, "Salud Total", Dataset_Cuentas_Medicas!$J$2:$J$31)</f>
        <v/>
      </c>
      <c r="F21" s="19">
        <f>IF(C21&gt;0, E21/C21, 0)</f>
        <v/>
      </c>
      <c r="G21" s="18">
        <f>SUMIF(Dataset_Cuentas_Medicas!$B$2:$B$31, "Salud Total", Dataset_Cuentas_Medicas!$O$2:$O$31)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2026-10-09T19:49:08Z</dcterms:created>
  <dcterms:modified xmlns:dcterms="http://purl.org/dc/terms/" xmlns:xsi="http://www.w3.org/2001/XMLSchema-instance" xsi:type="dcterms:W3CDTF">2026-10-09T19:49:08Z</dcterms:modified>
</cp:coreProperties>
</file>